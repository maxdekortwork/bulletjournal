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a\Documents\Nextcloud\School\TB\Jaar 1\Semester 4\LU1\"/>
    </mc:Choice>
  </mc:AlternateContent>
  <xr:revisionPtr revIDLastSave="0" documentId="13_ncr:1_{16749E0F-4FFF-4071-98B0-3E526BF2E6FF}" xr6:coauthVersionLast="47" xr6:coauthVersionMax="47" xr10:uidLastSave="{00000000-0000-0000-0000-000000000000}"/>
  <bookViews>
    <workbookView xWindow="-110" yWindow="-110" windowWidth="19420" windowHeight="10560" xr2:uid="{F877A896-164D-4E53-B710-0D34D27FE3F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1" l="1"/>
  <c r="I21" i="1"/>
  <c r="H21" i="1"/>
  <c r="G21" i="1"/>
  <c r="F21" i="1"/>
  <c r="E21" i="1"/>
  <c r="D21" i="1"/>
  <c r="D20" i="1"/>
  <c r="D17" i="1"/>
  <c r="D15" i="1"/>
  <c r="D14" i="1"/>
  <c r="H12" i="1"/>
  <c r="H10" i="1"/>
  <c r="H14" i="1" s="1"/>
  <c r="H8" i="1"/>
  <c r="H11" i="1" s="1"/>
  <c r="G12" i="1"/>
  <c r="F12" i="1"/>
  <c r="E12" i="1"/>
  <c r="E8" i="1"/>
  <c r="F8" i="1"/>
  <c r="G8" i="1"/>
  <c r="G11" i="1" s="1"/>
  <c r="E10" i="1"/>
  <c r="E14" i="1" s="1"/>
  <c r="F10" i="1"/>
  <c r="F14" i="1" s="1"/>
  <c r="G10" i="1"/>
  <c r="G14" i="1" s="1"/>
  <c r="F11" i="1"/>
  <c r="D8" i="1"/>
  <c r="D10" i="1"/>
  <c r="H13" i="1" l="1"/>
  <c r="H15" i="1" s="1"/>
  <c r="E11" i="1"/>
  <c r="F13" i="1"/>
  <c r="F15" i="1" s="1"/>
  <c r="D11" i="1"/>
  <c r="D12" i="1"/>
  <c r="D13" i="1" s="1"/>
  <c r="G13" i="1" l="1"/>
  <c r="G15" i="1" s="1"/>
  <c r="E13" i="1" l="1"/>
  <c r="E15" i="1" s="1"/>
</calcChain>
</file>

<file path=xl/sharedStrings.xml><?xml version="1.0" encoding="utf-8"?>
<sst xmlns="http://schemas.openxmlformats.org/spreadsheetml/2006/main" count="17" uniqueCount="16">
  <si>
    <t>I</t>
  </si>
  <si>
    <t>rw</t>
  </si>
  <si>
    <t>n</t>
  </si>
  <si>
    <t>i</t>
  </si>
  <si>
    <t>baten</t>
  </si>
  <si>
    <t>kosten</t>
  </si>
  <si>
    <t>afschrijvingen</t>
  </si>
  <si>
    <t>winst</t>
  </si>
  <si>
    <t>jaar</t>
  </si>
  <si>
    <t>vpb</t>
  </si>
  <si>
    <t>winst na vpb</t>
  </si>
  <si>
    <t>cashflow</t>
  </si>
  <si>
    <t>gbr</t>
  </si>
  <si>
    <t>maanden</t>
  </si>
  <si>
    <t>tvp</t>
  </si>
  <si>
    <t>ncw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</si>
</sst>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5699-C2FC-41F1-AAFF-0DE402F076D9}">
  <dimension ref="B3:J21"/>
  <sheetViews>
    <sheetView tabSelected="1" zoomScale="64" workbookViewId="0">
      <selection activeCell="L11" sqref="L11"/>
    </sheetView>
  </sheetViews>
  <sheetFormatPr defaultRowHeight="14.5" x14ac:dyDescent="0.35"/>
  <cols>
    <col min="3" max="3" width="12" bestFit="1" customWidth="1"/>
    <col min="5" max="5" width="9.6328125" bestFit="1" customWidth="1"/>
    <col min="6" max="6" width="9.453125" bestFit="1" customWidth="1"/>
    <col min="7" max="8" width="9.6328125" bestFit="1" customWidth="1"/>
    <col min="9" max="9" width="12.1796875" bestFit="1" customWidth="1"/>
    <col min="11" max="11" width="14.08984375" bestFit="1" customWidth="1"/>
  </cols>
  <sheetData>
    <row r="3" spans="2:8" x14ac:dyDescent="0.35">
      <c r="C3" t="s">
        <v>0</v>
      </c>
      <c r="D3">
        <v>6000</v>
      </c>
    </row>
    <row r="4" spans="2:8" x14ac:dyDescent="0.35">
      <c r="C4" t="s">
        <v>1</v>
      </c>
      <c r="D4">
        <v>0</v>
      </c>
    </row>
    <row r="5" spans="2:8" x14ac:dyDescent="0.35">
      <c r="C5" t="s">
        <v>2</v>
      </c>
      <c r="D5">
        <v>5</v>
      </c>
      <c r="E5" t="s">
        <v>8</v>
      </c>
    </row>
    <row r="6" spans="2:8" x14ac:dyDescent="0.35">
      <c r="C6" t="s">
        <v>3</v>
      </c>
      <c r="D6" s="1">
        <v>0.04</v>
      </c>
    </row>
    <row r="7" spans="2:8" x14ac:dyDescent="0.35">
      <c r="D7">
        <v>1</v>
      </c>
      <c r="E7">
        <v>2</v>
      </c>
      <c r="F7">
        <v>3</v>
      </c>
      <c r="G7">
        <v>4</v>
      </c>
      <c r="H7">
        <v>5</v>
      </c>
    </row>
    <row r="8" spans="2:8" x14ac:dyDescent="0.35">
      <c r="C8" t="s">
        <v>4</v>
      </c>
      <c r="D8">
        <f>5*2600</f>
        <v>13000</v>
      </c>
      <c r="E8">
        <f t="shared" ref="E8:H8" si="0">5*2600</f>
        <v>13000</v>
      </c>
      <c r="F8">
        <f t="shared" si="0"/>
        <v>13000</v>
      </c>
      <c r="G8">
        <f t="shared" si="0"/>
        <v>13000</v>
      </c>
      <c r="H8">
        <f t="shared" si="0"/>
        <v>13000</v>
      </c>
    </row>
    <row r="9" spans="2:8" x14ac:dyDescent="0.35">
      <c r="C9" t="s">
        <v>5</v>
      </c>
      <c r="D9">
        <v>0</v>
      </c>
      <c r="E9">
        <v>0</v>
      </c>
      <c r="F9">
        <v>0</v>
      </c>
      <c r="G9">
        <v>0</v>
      </c>
      <c r="H9">
        <v>0</v>
      </c>
    </row>
    <row r="10" spans="2:8" x14ac:dyDescent="0.35">
      <c r="C10" t="s">
        <v>6</v>
      </c>
      <c r="D10">
        <f>(6000-0)/5</f>
        <v>1200</v>
      </c>
      <c r="E10">
        <f t="shared" ref="E10:H10" si="1">(6000-0)/5</f>
        <v>1200</v>
      </c>
      <c r="F10">
        <f t="shared" si="1"/>
        <v>1200</v>
      </c>
      <c r="G10">
        <f t="shared" si="1"/>
        <v>1200</v>
      </c>
      <c r="H10">
        <f t="shared" si="1"/>
        <v>1200</v>
      </c>
    </row>
    <row r="11" spans="2:8" x14ac:dyDescent="0.35">
      <c r="C11" t="s">
        <v>7</v>
      </c>
      <c r="D11">
        <f>D8-D9-D10</f>
        <v>11800</v>
      </c>
      <c r="E11">
        <f t="shared" ref="E11:H11" si="2">E8-E9-E10</f>
        <v>11800</v>
      </c>
      <c r="F11">
        <f t="shared" si="2"/>
        <v>11800</v>
      </c>
      <c r="G11">
        <f t="shared" si="2"/>
        <v>11800</v>
      </c>
      <c r="H11">
        <f t="shared" si="2"/>
        <v>11800</v>
      </c>
    </row>
    <row r="12" spans="2:8" x14ac:dyDescent="0.35">
      <c r="B12" s="1">
        <v>0.25</v>
      </c>
      <c r="C12" t="s">
        <v>9</v>
      </c>
      <c r="D12">
        <f>D11*B12</f>
        <v>2950</v>
      </c>
      <c r="E12">
        <f>E11*B12</f>
        <v>2950</v>
      </c>
      <c r="F12">
        <f>F11*B12</f>
        <v>2950</v>
      </c>
      <c r="G12">
        <f>G11*B12</f>
        <v>2950</v>
      </c>
      <c r="H12">
        <f>H11*B12</f>
        <v>2950</v>
      </c>
    </row>
    <row r="13" spans="2:8" x14ac:dyDescent="0.35">
      <c r="C13" t="s">
        <v>10</v>
      </c>
      <c r="D13">
        <f>D11-D12</f>
        <v>8850</v>
      </c>
      <c r="E13">
        <f t="shared" ref="E13:H13" si="3">E11-E12</f>
        <v>8850</v>
      </c>
      <c r="F13">
        <f t="shared" si="3"/>
        <v>8850</v>
      </c>
      <c r="G13">
        <f t="shared" si="3"/>
        <v>8850</v>
      </c>
      <c r="H13">
        <f t="shared" si="3"/>
        <v>8850</v>
      </c>
    </row>
    <row r="14" spans="2:8" x14ac:dyDescent="0.35">
      <c r="C14" t="s">
        <v>6</v>
      </c>
      <c r="D14">
        <f>D10</f>
        <v>1200</v>
      </c>
      <c r="E14">
        <f t="shared" ref="E14:G14" si="4">E10</f>
        <v>1200</v>
      </c>
      <c r="F14">
        <f t="shared" si="4"/>
        <v>1200</v>
      </c>
      <c r="G14">
        <f t="shared" si="4"/>
        <v>1200</v>
      </c>
      <c r="H14">
        <f t="shared" ref="H14" si="5">H10</f>
        <v>1200</v>
      </c>
    </row>
    <row r="15" spans="2:8" x14ac:dyDescent="0.35">
      <c r="C15" t="s">
        <v>11</v>
      </c>
      <c r="D15">
        <f>D13+D14</f>
        <v>10050</v>
      </c>
      <c r="E15">
        <f t="shared" ref="E15:H15" si="6">E13+E14</f>
        <v>10050</v>
      </c>
      <c r="F15">
        <f t="shared" si="6"/>
        <v>10050</v>
      </c>
      <c r="G15">
        <f t="shared" si="6"/>
        <v>10050</v>
      </c>
      <c r="H15">
        <f t="shared" si="6"/>
        <v>10050</v>
      </c>
    </row>
    <row r="17" spans="3:10" x14ac:dyDescent="0.35">
      <c r="C17" t="s">
        <v>12</v>
      </c>
      <c r="D17" s="2">
        <f>8850/((6000+0)/2)</f>
        <v>2.95</v>
      </c>
    </row>
    <row r="19" spans="3:10" x14ac:dyDescent="0.35">
      <c r="D19" s="1"/>
    </row>
    <row r="20" spans="3:10" x14ac:dyDescent="0.35">
      <c r="C20" t="s">
        <v>14</v>
      </c>
      <c r="D20">
        <f>D3/(D15/12)</f>
        <v>7.1641791044776122</v>
      </c>
      <c r="E20" t="s">
        <v>13</v>
      </c>
    </row>
    <row r="21" spans="3:10" x14ac:dyDescent="0.35">
      <c r="C21" t="s">
        <v>15</v>
      </c>
      <c r="D21">
        <f>D15/(1+D6)^1</f>
        <v>9663.461538461539</v>
      </c>
      <c r="E21">
        <f>E15/(1+D6)^2</f>
        <v>9291.7899408284011</v>
      </c>
      <c r="F21">
        <f>F15/(1+D6)^3</f>
        <v>8934.4134046426934</v>
      </c>
      <c r="G21">
        <f>G15/(1+D6)^4</f>
        <v>8590.7821198487436</v>
      </c>
      <c r="H21">
        <f>H15/(1+D6)^5</f>
        <v>8260.3674229314838</v>
      </c>
      <c r="I21">
        <f>SUM(D21:H21)</f>
        <v>44740.814426712859</v>
      </c>
      <c r="J21">
        <f>I21-D3</f>
        <v>38740.814426712859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Kort,Max M. de</dc:creator>
  <cp:lastModifiedBy>Kort,Max M. de</cp:lastModifiedBy>
  <dcterms:created xsi:type="dcterms:W3CDTF">2026-06-17T08:18:29Z</dcterms:created>
  <dcterms:modified xsi:type="dcterms:W3CDTF">2026-06-22T09:12:17Z</dcterms:modified>
</cp:coreProperties>
</file>